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Accept\بیگ دیتا\"/>
    </mc:Choice>
  </mc:AlternateContent>
  <bookViews>
    <workbookView xWindow="0" yWindow="0" windowWidth="20490" windowHeight="7530" tabRatio="500" activeTab="1"/>
  </bookViews>
  <sheets>
    <sheet name="CTI_Fit" sheetId="2" r:id="rId1"/>
    <sheet name="Model_Consistency" sheetId="3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3" l="1"/>
  <c r="E31" i="3"/>
  <c r="I31" i="3" s="1"/>
  <c r="I30" i="3"/>
  <c r="G30" i="3"/>
  <c r="E30" i="3"/>
  <c r="G29" i="3"/>
  <c r="G33" i="3" s="1"/>
  <c r="G34" i="3" s="1"/>
  <c r="E29" i="3"/>
  <c r="I29" i="3" s="1"/>
  <c r="G28" i="3"/>
  <c r="E28" i="3"/>
  <c r="I28" i="3" s="1"/>
  <c r="G27" i="3"/>
  <c r="E27" i="3"/>
  <c r="C20" i="3"/>
  <c r="B20" i="3"/>
  <c r="B19" i="3"/>
  <c r="D19" i="3" s="1"/>
  <c r="C18" i="3"/>
  <c r="B18" i="3"/>
  <c r="G14" i="3"/>
  <c r="G13" i="3"/>
  <c r="G12" i="3"/>
  <c r="F12" i="3"/>
  <c r="G11" i="3"/>
  <c r="F11" i="3"/>
  <c r="G10" i="3"/>
  <c r="F10" i="3"/>
  <c r="E22" i="2"/>
  <c r="D22" i="2"/>
  <c r="C22" i="2"/>
  <c r="B2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J7" i="2"/>
  <c r="I7" i="2"/>
  <c r="H7" i="2"/>
  <c r="G7" i="2"/>
  <c r="J6" i="2"/>
  <c r="I6" i="2"/>
  <c r="H6" i="2"/>
  <c r="G6" i="2"/>
  <c r="J5" i="2"/>
  <c r="J13" i="2" s="1"/>
  <c r="I5" i="2"/>
  <c r="I13" i="2" s="1"/>
  <c r="H5" i="2"/>
  <c r="H13" i="2" s="1"/>
  <c r="G5" i="2"/>
  <c r="G13" i="2" s="1"/>
  <c r="I12" i="2" l="1"/>
  <c r="H12" i="2"/>
  <c r="J12" i="2"/>
  <c r="G12" i="2"/>
</calcChain>
</file>

<file path=xl/sharedStrings.xml><?xml version="1.0" encoding="utf-8"?>
<sst xmlns="http://schemas.openxmlformats.org/spreadsheetml/2006/main" count="79" uniqueCount="68">
  <si>
    <t>Statistic</t>
  </si>
  <si>
    <t>Target (DADEH)</t>
  </si>
  <si>
    <t>Simple weighted sum</t>
  </si>
  <si>
    <t>Equal weights</t>
  </si>
  <si>
    <t>Weighted geometric</t>
  </si>
  <si>
    <t>Affine fit (scale+offset)</t>
  </si>
  <si>
    <t>Δ Simple</t>
  </si>
  <si>
    <t>Δ Equal</t>
  </si>
  <si>
    <t>Δ Geometric</t>
  </si>
  <si>
    <t>Δ Affine</t>
  </si>
  <si>
    <t>Mean</t>
  </si>
  <si>
    <t>SD</t>
  </si>
  <si>
    <t>Min</t>
  </si>
  <si>
    <t>25%</t>
  </si>
  <si>
    <t>Median</t>
  </si>
  <si>
    <t>75%</t>
  </si>
  <si>
    <t>Max</t>
  </si>
  <si>
    <t>Sum of squared Δ (lower = better)</t>
  </si>
  <si>
    <t>Max |Δ|</t>
  </si>
  <si>
    <t>Fitted weights (normalised to sum = 1)</t>
  </si>
  <si>
    <t>Metric</t>
  </si>
  <si>
    <t>Affine fit</t>
  </si>
  <si>
    <t>AI Model Accuracy (%)</t>
  </si>
  <si>
    <t>Batch Failure Rate (%) – inverted</t>
  </si>
  <si>
    <t>Production Cost Reduction (%)</t>
  </si>
  <si>
    <t>Regulatory Compliance Score</t>
  </si>
  <si>
    <t>System Resilience Score</t>
  </si>
  <si>
    <t>Sum of weights</t>
  </si>
  <si>
    <t>Affine offset / scale</t>
  </si>
  <si>
    <t>Offset</t>
  </si>
  <si>
    <t>Scale</t>
  </si>
  <si>
    <t>120-row CTI max (DADEH)</t>
  </si>
  <si>
    <t>120-row CTI mean (DADEH)</t>
  </si>
  <si>
    <t>120-row CTI SD (DADEH)</t>
  </si>
  <si>
    <t>n</t>
  </si>
  <si>
    <t>z-value for 95% CI (normal approx.)</t>
  </si>
  <si>
    <t>Model</t>
  </si>
  <si>
    <t>CTI score</t>
  </si>
  <si>
    <t>95% CI (±)</t>
  </si>
  <si>
    <t>Rank stability (%)</t>
  </si>
  <si>
    <t>Hypervolume contribution</t>
  </si>
  <si>
    <t>Exceeds 120-row max?</t>
  </si>
  <si>
    <t>Below 120-row mean?</t>
  </si>
  <si>
    <t>Baseline ML</t>
  </si>
  <si>
    <t>XAI</t>
  </si>
  <si>
    <t>HITL</t>
  </si>
  <si>
    <t>Hybrid AI</t>
  </si>
  <si>
    <t>Hybrid + UQ</t>
  </si>
  <si>
    <t>Checks</t>
  </si>
  <si>
    <t>Check</t>
  </si>
  <si>
    <t>Value</t>
  </si>
  <si>
    <t>Reference</t>
  </si>
  <si>
    <t>Result</t>
  </si>
  <si>
    <t>Mean of five model CTIs vs 120-row mean</t>
  </si>
  <si>
    <t>Models with CTI above 120-row max</t>
  </si>
  <si>
    <t>Expected 95% CI half-width of mean (z·SD/√n)</t>
  </si>
  <si>
    <t>Row 20: Reference = mean reported CI half-width; reported CIs are ~2–3× larger, so n or CI method must be stated (assumes the 120-row SD and n apply).</t>
  </si>
  <si>
    <t>PMI mean</t>
  </si>
  <si>
    <t>Reported % reduction</t>
  </si>
  <si>
    <t>Recomputed % reduction</t>
  </si>
  <si>
    <t>Energy-normalised PMI</t>
  </si>
  <si>
    <t>Implied energy (PMI ÷ norm.)</t>
  </si>
  <si>
    <t>Partial r (yield)</t>
  </si>
  <si>
    <t>% reduction check</t>
  </si>
  <si>
    <t>–</t>
  </si>
  <si>
    <t>n/a</t>
  </si>
  <si>
    <t>Implied energy range (max − min)</t>
  </si>
  <si>
    <t>Implied energy spread (% of 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</si>
</sst>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\+0.000;\-0.000;0.000"/>
    <numFmt numFmtId="166" formatCode="0.0000"/>
    <numFmt numFmtId="167" formatCode="0.0"/>
    <numFmt numFmtId="168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C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6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/>
    <xf numFmtId="0" fontId="3" fillId="0" borderId="1" xfId="0" applyFont="1" applyBorder="1"/>
    <xf numFmtId="0" fontId="7" fillId="0" borderId="0" xfId="0" applyFont="1"/>
    <xf numFmtId="1" fontId="6" fillId="0" borderId="1" xfId="0" applyNumberFormat="1" applyFont="1" applyBorder="1"/>
    <xf numFmtId="2" fontId="6" fillId="0" borderId="1" xfId="0" applyNumberFormat="1" applyFont="1" applyBorder="1"/>
    <xf numFmtId="167" fontId="6" fillId="0" borderId="1" xfId="0" applyNumberFormat="1" applyFont="1" applyBorder="1"/>
    <xf numFmtId="1" fontId="3" fillId="0" borderId="1" xfId="0" applyNumberFormat="1" applyFont="1" applyBorder="1"/>
    <xf numFmtId="168" fontId="6" fillId="0" borderId="1" xfId="0" applyNumberFormat="1" applyFont="1" applyBorder="1"/>
    <xf numFmtId="168" fontId="3" fillId="0" borderId="1" xfId="0" applyNumberFormat="1" applyFont="1" applyBorder="1"/>
    <xf numFmtId="167" fontId="3" fillId="0" borderId="1" xfId="0" applyNumberFormat="1" applyFont="1" applyBorder="1"/>
    <xf numFmtId="0" fontId="2" fillId="0" borderId="2" xfId="0" applyFont="1" applyBorder="1"/>
    <xf numFmtId="0" fontId="3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2" fontId="6" fillId="0" borderId="8" xfId="0" applyNumberFormat="1" applyFont="1" applyBorder="1"/>
    <xf numFmtId="167" fontId="6" fillId="0" borderId="8" xfId="0" applyNumberFormat="1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67" formatCode="0.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9:G14" totalsRowShown="0" headerRowDxfId="0" dataDxfId="1" headerRowBorderDxfId="10" tableBorderDxfId="11" totalsRowBorderDxfId="9">
  <autoFilter ref="A9:G14"/>
  <tableColumns count="7">
    <tableColumn id="1" name="Model" dataDxfId="8"/>
    <tableColumn id="2" name="CTI score" dataDxfId="7"/>
    <tableColumn id="3" name="95% CI (±)" dataDxfId="6"/>
    <tableColumn id="4" name="Rank stability (%)" dataDxfId="5"/>
    <tableColumn id="5" name="Hypervolume contribution" dataDxfId="4"/>
    <tableColumn id="6" name="Exceeds 120-row max?" dataDxfId="3"/>
    <tableColumn id="7" name="Below 120-row mean?" dataDxfId="2">
      <calculatedColumnFormula>IF(B10&lt;$B$4,"Below","Above")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7" zoomScaleNormal="100" workbookViewId="0">
      <selection activeCell="B28" sqref="B28"/>
    </sheetView>
  </sheetViews>
  <sheetFormatPr defaultColWidth="8.7109375" defaultRowHeight="15" x14ac:dyDescent="0.25"/>
  <cols>
    <col min="1" max="1" width="36" customWidth="1"/>
    <col min="2" max="10" width="17" customWidth="1"/>
  </cols>
  <sheetData>
    <row r="1" spans="1:10" ht="18" x14ac:dyDescent="0.25">
      <c r="A1" s="1"/>
    </row>
    <row r="2" spans="1:10" x14ac:dyDescent="0.25">
      <c r="A2" s="2"/>
    </row>
    <row r="4" spans="1:10" ht="31.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 x14ac:dyDescent="0.25">
      <c r="A5" s="4" t="s">
        <v>10</v>
      </c>
      <c r="B5" s="5">
        <v>0.48629299999999998</v>
      </c>
      <c r="C5" s="5">
        <v>0.52600000000000002</v>
      </c>
      <c r="D5" s="5">
        <v>0.52859999999999996</v>
      </c>
      <c r="E5" s="5">
        <v>0.47399999999999998</v>
      </c>
      <c r="F5" s="5">
        <v>0.48399999999999999</v>
      </c>
      <c r="G5" s="6">
        <f t="shared" ref="G5:J11" si="0">C5-$B5</f>
        <v>3.9707000000000048E-2</v>
      </c>
      <c r="H5" s="6">
        <f t="shared" si="0"/>
        <v>4.2306999999999984E-2</v>
      </c>
      <c r="I5" s="6">
        <f t="shared" si="0"/>
        <v>-1.2292999999999998E-2</v>
      </c>
      <c r="J5" s="6">
        <f t="shared" si="0"/>
        <v>-2.2929999999999895E-3</v>
      </c>
    </row>
    <row r="6" spans="1:10" x14ac:dyDescent="0.25">
      <c r="A6" s="4" t="s">
        <v>11</v>
      </c>
      <c r="B6" s="5">
        <v>8.3412E-2</v>
      </c>
      <c r="C6" s="5">
        <v>0.107</v>
      </c>
      <c r="D6" s="5">
        <v>9.06E-2</v>
      </c>
      <c r="E6" s="5">
        <v>0.11899999999999999</v>
      </c>
      <c r="F6" s="5">
        <v>9.1999999999999998E-2</v>
      </c>
      <c r="G6" s="6">
        <f t="shared" si="0"/>
        <v>2.3587999999999998E-2</v>
      </c>
      <c r="H6" s="6">
        <f t="shared" si="0"/>
        <v>7.1879999999999999E-3</v>
      </c>
      <c r="I6" s="6">
        <f t="shared" si="0"/>
        <v>3.5587999999999995E-2</v>
      </c>
      <c r="J6" s="6">
        <f t="shared" si="0"/>
        <v>8.5879999999999984E-3</v>
      </c>
    </row>
    <row r="7" spans="1:10" x14ac:dyDescent="0.25">
      <c r="A7" s="4" t="s">
        <v>12</v>
      </c>
      <c r="B7" s="5">
        <v>0.20982100000000001</v>
      </c>
      <c r="C7" s="5">
        <v>0.224</v>
      </c>
      <c r="D7" s="5">
        <v>0.29330000000000001</v>
      </c>
      <c r="E7" s="5">
        <v>0.14699999999999999</v>
      </c>
      <c r="F7" s="5">
        <v>0.21199999999999999</v>
      </c>
      <c r="G7" s="6">
        <f t="shared" si="0"/>
        <v>1.4178999999999997E-2</v>
      </c>
      <c r="H7" s="6">
        <f t="shared" si="0"/>
        <v>8.3478999999999998E-2</v>
      </c>
      <c r="I7" s="6">
        <f t="shared" si="0"/>
        <v>-6.2821000000000016E-2</v>
      </c>
      <c r="J7" s="6">
        <f t="shared" si="0"/>
        <v>2.1789999999999865E-3</v>
      </c>
    </row>
    <row r="8" spans="1:10" x14ac:dyDescent="0.25">
      <c r="A8" s="4" t="s">
        <v>13</v>
      </c>
      <c r="B8" s="5">
        <v>0.43788500000000002</v>
      </c>
      <c r="C8" s="5">
        <v>0.46</v>
      </c>
      <c r="D8" s="5">
        <v>0.4748</v>
      </c>
      <c r="E8" s="5">
        <v>0.41399999999999998</v>
      </c>
      <c r="F8" s="5">
        <v>0.437</v>
      </c>
      <c r="G8" s="6">
        <f t="shared" si="0"/>
        <v>2.2114999999999996E-2</v>
      </c>
      <c r="H8" s="6">
        <f t="shared" si="0"/>
        <v>3.6914999999999976E-2</v>
      </c>
      <c r="I8" s="6">
        <f t="shared" si="0"/>
        <v>-2.3885000000000045E-2</v>
      </c>
      <c r="J8" s="6">
        <f t="shared" si="0"/>
        <v>-8.8500000000002466E-4</v>
      </c>
    </row>
    <row r="9" spans="1:10" x14ac:dyDescent="0.25">
      <c r="A9" s="4" t="s">
        <v>14</v>
      </c>
      <c r="B9" s="5">
        <v>0.479856</v>
      </c>
      <c r="C9" s="5">
        <v>0.51900000000000002</v>
      </c>
      <c r="D9" s="5">
        <v>0.53820000000000001</v>
      </c>
      <c r="E9" s="5">
        <v>0.48899999999999999</v>
      </c>
      <c r="F9" s="5">
        <v>0.48299999999999998</v>
      </c>
      <c r="G9" s="6">
        <f t="shared" si="0"/>
        <v>3.9144000000000012E-2</v>
      </c>
      <c r="H9" s="6">
        <f t="shared" si="0"/>
        <v>5.8344000000000007E-2</v>
      </c>
      <c r="I9" s="6">
        <f t="shared" si="0"/>
        <v>9.1439999999999855E-3</v>
      </c>
      <c r="J9" s="6">
        <f t="shared" si="0"/>
        <v>3.1439999999999801E-3</v>
      </c>
    </row>
    <row r="10" spans="1:10" x14ac:dyDescent="0.25">
      <c r="A10" s="4" t="s">
        <v>15</v>
      </c>
      <c r="B10" s="5">
        <v>0.54656400000000005</v>
      </c>
      <c r="C10" s="5">
        <v>0.60499999999999998</v>
      </c>
      <c r="D10" s="5">
        <v>0.60199999999999998</v>
      </c>
      <c r="E10" s="5">
        <v>0.56000000000000005</v>
      </c>
      <c r="F10" s="5">
        <v>0.54700000000000004</v>
      </c>
      <c r="G10" s="6">
        <f t="shared" si="0"/>
        <v>5.8435999999999932E-2</v>
      </c>
      <c r="H10" s="6">
        <f t="shared" si="0"/>
        <v>5.543599999999993E-2</v>
      </c>
      <c r="I10" s="6">
        <f t="shared" si="0"/>
        <v>1.3436000000000003E-2</v>
      </c>
      <c r="J10" s="6">
        <f t="shared" si="0"/>
        <v>4.3599999999999195E-4</v>
      </c>
    </row>
    <row r="11" spans="1:10" x14ac:dyDescent="0.25">
      <c r="A11" s="4" t="s">
        <v>16</v>
      </c>
      <c r="B11" s="5">
        <v>0.67481899999999995</v>
      </c>
      <c r="C11" s="5">
        <v>0.72499999999999998</v>
      </c>
      <c r="D11" s="5">
        <v>0.71340000000000003</v>
      </c>
      <c r="E11" s="5">
        <v>0.68799999999999994</v>
      </c>
      <c r="F11" s="5">
        <v>0.67400000000000004</v>
      </c>
      <c r="G11" s="6">
        <f t="shared" si="0"/>
        <v>5.0181000000000031E-2</v>
      </c>
      <c r="H11" s="6">
        <f t="shared" si="0"/>
        <v>3.8581000000000087E-2</v>
      </c>
      <c r="I11" s="6">
        <f t="shared" si="0"/>
        <v>1.3180999999999998E-2</v>
      </c>
      <c r="J11" s="6">
        <f t="shared" si="0"/>
        <v>-8.1899999999990314E-4</v>
      </c>
    </row>
    <row r="12" spans="1:10" x14ac:dyDescent="0.25">
      <c r="A12" s="4" t="s">
        <v>17</v>
      </c>
      <c r="G12" s="7">
        <f>SUMSQ(G5:G11)</f>
        <v>1.0288308451999999E-2</v>
      </c>
      <c r="H12" s="7">
        <f>SUMSQ(H5:H11)</f>
        <v>1.8138676251999997E-2</v>
      </c>
      <c r="I12" s="7">
        <f>SUMSQ(I5:I11)</f>
        <v>6.3724724520000031E-3</v>
      </c>
      <c r="J12" s="7">
        <f>SUMSQ(J5:J11)</f>
        <v>9.528845199999963E-5</v>
      </c>
    </row>
    <row r="13" spans="1:10" x14ac:dyDescent="0.25">
      <c r="A13" s="4" t="s">
        <v>18</v>
      </c>
      <c r="G13" s="8">
        <f>MAX(MAX(G5:G11),-MIN(G5:G11))</f>
        <v>5.8435999999999932E-2</v>
      </c>
      <c r="H13" s="8">
        <f>MAX(MAX(H5:H11),-MIN(H5:H11))</f>
        <v>8.3478999999999998E-2</v>
      </c>
      <c r="I13" s="8">
        <f>MAX(MAX(I5:I11),-MIN(I5:I11))</f>
        <v>6.2821000000000016E-2</v>
      </c>
      <c r="J13" s="8">
        <f>MAX(MAX(J5:J11),-MIN(J5:J11))</f>
        <v>8.5879999999999984E-3</v>
      </c>
    </row>
    <row r="15" spans="1:10" x14ac:dyDescent="0.25">
      <c r="A15" s="9" t="s">
        <v>19</v>
      </c>
    </row>
    <row r="16" spans="1:10" ht="25.5" x14ac:dyDescent="0.25">
      <c r="A16" s="3" t="s">
        <v>20</v>
      </c>
      <c r="B16" s="3" t="s">
        <v>2</v>
      </c>
      <c r="C16" s="3" t="s">
        <v>3</v>
      </c>
      <c r="D16" s="3" t="s">
        <v>4</v>
      </c>
      <c r="E16" s="3" t="s">
        <v>21</v>
      </c>
    </row>
    <row r="17" spans="1:5" x14ac:dyDescent="0.25">
      <c r="A17" s="10" t="s">
        <v>22</v>
      </c>
      <c r="B17" s="5">
        <v>0.185</v>
      </c>
      <c r="C17" s="5">
        <v>0.2</v>
      </c>
      <c r="D17" s="5">
        <v>0.192</v>
      </c>
      <c r="E17" s="5">
        <v>0.32100000000000001</v>
      </c>
    </row>
    <row r="18" spans="1:5" x14ac:dyDescent="0.25">
      <c r="A18" s="10" t="s">
        <v>23</v>
      </c>
      <c r="B18" s="5">
        <v>0.128</v>
      </c>
      <c r="C18" s="5">
        <v>0.2</v>
      </c>
      <c r="D18" s="5">
        <v>0.214</v>
      </c>
      <c r="E18" s="5">
        <v>0.20599999999999999</v>
      </c>
    </row>
    <row r="19" spans="1:5" x14ac:dyDescent="0.25">
      <c r="A19" s="10" t="s">
        <v>24</v>
      </c>
      <c r="B19" s="5">
        <v>0.313</v>
      </c>
      <c r="C19" s="5">
        <v>0.2</v>
      </c>
      <c r="D19" s="5">
        <v>0.23799999999999999</v>
      </c>
      <c r="E19" s="5">
        <v>0</v>
      </c>
    </row>
    <row r="20" spans="1:5" x14ac:dyDescent="0.25">
      <c r="A20" s="10" t="s">
        <v>25</v>
      </c>
      <c r="B20" s="5">
        <v>0</v>
      </c>
      <c r="C20" s="5">
        <v>0.2</v>
      </c>
      <c r="D20" s="5">
        <v>0.20399999999999999</v>
      </c>
      <c r="E20" s="5">
        <v>0.04</v>
      </c>
    </row>
    <row r="21" spans="1:5" x14ac:dyDescent="0.25">
      <c r="A21" s="10" t="s">
        <v>26</v>
      </c>
      <c r="B21" s="5">
        <v>0.374</v>
      </c>
      <c r="C21" s="5">
        <v>0.2</v>
      </c>
      <c r="D21" s="5">
        <v>0.151</v>
      </c>
      <c r="E21" s="5">
        <v>0.433</v>
      </c>
    </row>
    <row r="22" spans="1:5" x14ac:dyDescent="0.25">
      <c r="A22" s="4" t="s">
        <v>27</v>
      </c>
      <c r="B22" s="8">
        <f>SUM(B17:B21)</f>
        <v>1</v>
      </c>
      <c r="C22" s="8">
        <f>SUM(C17:C21)</f>
        <v>1</v>
      </c>
      <c r="D22" s="8">
        <f>SUM(D17:D21)</f>
        <v>0.999</v>
      </c>
      <c r="E22" s="8">
        <f>SUM(E17:E21)</f>
        <v>1</v>
      </c>
    </row>
    <row r="23" spans="1:5" x14ac:dyDescent="0.25">
      <c r="A23" s="4" t="s">
        <v>28</v>
      </c>
      <c r="B23" s="4" t="s">
        <v>29</v>
      </c>
      <c r="C23" s="5">
        <v>6.0999999999999999E-2</v>
      </c>
      <c r="D23" s="4" t="s">
        <v>30</v>
      </c>
      <c r="E23" s="5">
        <v>0.79200000000000004</v>
      </c>
    </row>
    <row r="25" spans="1:5" x14ac:dyDescent="0.25">
      <c r="A25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Normal="100" workbookViewId="0">
      <selection activeCell="A7" sqref="A7"/>
    </sheetView>
  </sheetViews>
  <sheetFormatPr defaultColWidth="8.7109375" defaultRowHeight="15" x14ac:dyDescent="0.25"/>
  <cols>
    <col min="1" max="1" width="46" customWidth="1"/>
    <col min="2" max="4" width="19" customWidth="1"/>
    <col min="5" max="5" width="26.5703125" customWidth="1"/>
    <col min="6" max="6" width="24" customWidth="1"/>
    <col min="7" max="7" width="23.28515625" customWidth="1"/>
    <col min="8" max="9" width="19" customWidth="1"/>
  </cols>
  <sheetData>
    <row r="1" spans="1:7" ht="18" x14ac:dyDescent="0.25">
      <c r="A1" s="1"/>
    </row>
    <row r="3" spans="1:7" x14ac:dyDescent="0.25">
      <c r="A3" s="4" t="s">
        <v>31</v>
      </c>
      <c r="B3" s="5">
        <v>0.67481899999999995</v>
      </c>
    </row>
    <row r="4" spans="1:7" x14ac:dyDescent="0.25">
      <c r="A4" s="4" t="s">
        <v>32</v>
      </c>
      <c r="B4" s="5">
        <v>0.48629299999999998</v>
      </c>
    </row>
    <row r="5" spans="1:7" x14ac:dyDescent="0.25">
      <c r="A5" s="4" t="s">
        <v>33</v>
      </c>
      <c r="B5" s="5">
        <v>8.3412E-2</v>
      </c>
    </row>
    <row r="6" spans="1:7" x14ac:dyDescent="0.25">
      <c r="A6" s="4" t="s">
        <v>34</v>
      </c>
      <c r="B6" s="12">
        <v>120</v>
      </c>
    </row>
    <row r="7" spans="1:7" x14ac:dyDescent="0.25">
      <c r="A7" s="4" t="s">
        <v>35</v>
      </c>
      <c r="B7" s="13">
        <v>1.96</v>
      </c>
    </row>
    <row r="9" spans="1:7" ht="31.5" customHeight="1" x14ac:dyDescent="0.25">
      <c r="A9" s="21" t="s">
        <v>36</v>
      </c>
      <c r="B9" s="22" t="s">
        <v>37</v>
      </c>
      <c r="C9" s="22" t="s">
        <v>38</v>
      </c>
      <c r="D9" s="22" t="s">
        <v>39</v>
      </c>
      <c r="E9" s="22" t="s">
        <v>40</v>
      </c>
      <c r="F9" s="22" t="s">
        <v>41</v>
      </c>
      <c r="G9" s="23" t="s">
        <v>42</v>
      </c>
    </row>
    <row r="10" spans="1:7" x14ac:dyDescent="0.25">
      <c r="A10" s="19" t="s">
        <v>43</v>
      </c>
      <c r="B10" s="13">
        <v>0.41</v>
      </c>
      <c r="C10" s="13">
        <v>0.04</v>
      </c>
      <c r="D10" s="14">
        <v>0</v>
      </c>
      <c r="E10" s="13">
        <v>0.12</v>
      </c>
      <c r="F10" s="10" t="str">
        <f>IF(B10&gt;$B$3,"EXCEEDS","OK")</f>
        <v>OK</v>
      </c>
      <c r="G10" s="20" t="str">
        <f>IF(B10&lt;$B$4,"Below","Above")</f>
        <v>Below</v>
      </c>
    </row>
    <row r="11" spans="1:7" x14ac:dyDescent="0.25">
      <c r="A11" s="19" t="s">
        <v>44</v>
      </c>
      <c r="B11" s="13">
        <v>0.44</v>
      </c>
      <c r="C11" s="13">
        <v>0.05</v>
      </c>
      <c r="D11" s="14">
        <v>1.3</v>
      </c>
      <c r="E11" s="13">
        <v>0.15</v>
      </c>
      <c r="F11" s="10" t="str">
        <f>IF(B11&gt;$B$3,"EXCEEDS","OK")</f>
        <v>OK</v>
      </c>
      <c r="G11" s="20" t="str">
        <f>IF(B11&lt;$B$4,"Below","Above")</f>
        <v>Below</v>
      </c>
    </row>
    <row r="12" spans="1:7" x14ac:dyDescent="0.25">
      <c r="A12" s="19" t="s">
        <v>45</v>
      </c>
      <c r="B12" s="13">
        <v>0.57999999999999996</v>
      </c>
      <c r="C12" s="13">
        <v>0.04</v>
      </c>
      <c r="D12" s="14">
        <v>5.3</v>
      </c>
      <c r="E12" s="13">
        <v>0.27</v>
      </c>
      <c r="F12" s="10" t="str">
        <f>IF(B12&gt;$B$3,"EXCEEDS","OK")</f>
        <v>OK</v>
      </c>
      <c r="G12" s="20" t="str">
        <f>IF(B12&lt;$B$4,"Below","Above")</f>
        <v>Above</v>
      </c>
    </row>
    <row r="13" spans="1:7" x14ac:dyDescent="0.25">
      <c r="A13" s="19" t="s">
        <v>46</v>
      </c>
      <c r="B13" s="13">
        <v>0.71</v>
      </c>
      <c r="C13" s="13">
        <v>0.03</v>
      </c>
      <c r="D13" s="14">
        <v>18</v>
      </c>
      <c r="E13" s="13">
        <v>0.34</v>
      </c>
      <c r="F13" s="10"/>
      <c r="G13" s="20" t="str">
        <f>IF(B13&lt;$B$4,"Below","Above")</f>
        <v>Above</v>
      </c>
    </row>
    <row r="14" spans="1:7" x14ac:dyDescent="0.25">
      <c r="A14" s="24" t="s">
        <v>47</v>
      </c>
      <c r="B14" s="25">
        <v>0.83</v>
      </c>
      <c r="C14" s="25">
        <v>0.02</v>
      </c>
      <c r="D14" s="26">
        <v>93.4</v>
      </c>
      <c r="E14" s="25">
        <v>0.46</v>
      </c>
      <c r="F14" s="27"/>
      <c r="G14" s="28" t="str">
        <f>IF(B14&lt;$B$4,"Below","Above")</f>
        <v>Above</v>
      </c>
    </row>
    <row r="16" spans="1:7" x14ac:dyDescent="0.25">
      <c r="A16" s="9" t="s">
        <v>48</v>
      </c>
    </row>
    <row r="17" spans="1:9" x14ac:dyDescent="0.25">
      <c r="A17" s="3" t="s">
        <v>49</v>
      </c>
      <c r="B17" s="3" t="s">
        <v>50</v>
      </c>
      <c r="C17" s="3" t="s">
        <v>51</v>
      </c>
      <c r="D17" s="3" t="s">
        <v>52</v>
      </c>
    </row>
    <row r="18" spans="1:9" x14ac:dyDescent="0.25">
      <c r="A18" s="10" t="s">
        <v>53</v>
      </c>
      <c r="B18" s="8">
        <f>AVERAGE(B10:B14)</f>
        <v>0.59399999999999997</v>
      </c>
      <c r="C18" s="8">
        <f>B4</f>
        <v>0.48629299999999998</v>
      </c>
      <c r="D18" s="10"/>
    </row>
    <row r="19" spans="1:9" x14ac:dyDescent="0.25">
      <c r="A19" s="10" t="s">
        <v>54</v>
      </c>
      <c r="B19" s="15">
        <f>COUNTIF(F10:F14,"EXCEEDS")</f>
        <v>0</v>
      </c>
      <c r="C19" s="12">
        <v>0</v>
      </c>
      <c r="D19" s="10" t="str">
        <f>IF(B19=C19,"CONSISTENT","INCONSISTENT")</f>
        <v>CONSISTENT</v>
      </c>
    </row>
    <row r="20" spans="1:9" x14ac:dyDescent="0.25">
      <c r="A20" s="10" t="s">
        <v>55</v>
      </c>
      <c r="B20" s="8">
        <f>B7*B5/SQRT(B6)</f>
        <v>1.4924300429096166E-2</v>
      </c>
      <c r="C20" s="8">
        <f>AVERAGE(C10:C14)</f>
        <v>3.5999999999999997E-2</v>
      </c>
      <c r="D20" s="10"/>
    </row>
    <row r="21" spans="1:9" x14ac:dyDescent="0.25">
      <c r="A21" s="2" t="s">
        <v>56</v>
      </c>
    </row>
    <row r="24" spans="1:9" ht="18" x14ac:dyDescent="0.25">
      <c r="A24" s="1"/>
    </row>
    <row r="26" spans="1:9" ht="45" customHeight="1" x14ac:dyDescent="0.25">
      <c r="A26" s="3" t="s">
        <v>36</v>
      </c>
      <c r="B26" s="3" t="s">
        <v>57</v>
      </c>
      <c r="C26" s="3" t="s">
        <v>38</v>
      </c>
      <c r="D26" s="3" t="s">
        <v>58</v>
      </c>
      <c r="E26" s="3" t="s">
        <v>59</v>
      </c>
      <c r="F26" s="3" t="s">
        <v>60</v>
      </c>
      <c r="G26" s="3" t="s">
        <v>61</v>
      </c>
      <c r="H26" s="3" t="s">
        <v>62</v>
      </c>
      <c r="I26" s="3" t="s">
        <v>63</v>
      </c>
    </row>
    <row r="27" spans="1:9" x14ac:dyDescent="0.25">
      <c r="A27" s="4" t="s">
        <v>43</v>
      </c>
      <c r="B27" s="14">
        <v>42.3</v>
      </c>
      <c r="C27" s="14">
        <v>1.2</v>
      </c>
      <c r="D27" s="16" t="s">
        <v>64</v>
      </c>
      <c r="E27" s="17">
        <f>(B$27-B27)/B$27</f>
        <v>0</v>
      </c>
      <c r="F27" s="5">
        <v>0.22900000000000001</v>
      </c>
      <c r="G27" s="18">
        <f>B27/F27</f>
        <v>184.71615720524017</v>
      </c>
      <c r="H27" s="13" t="s">
        <v>64</v>
      </c>
      <c r="I27" s="10" t="s">
        <v>65</v>
      </c>
    </row>
    <row r="28" spans="1:9" x14ac:dyDescent="0.25">
      <c r="A28" s="4" t="s">
        <v>44</v>
      </c>
      <c r="B28" s="14">
        <v>41.8</v>
      </c>
      <c r="C28" s="14">
        <v>1.1000000000000001</v>
      </c>
      <c r="D28" s="16">
        <v>1.2E-2</v>
      </c>
      <c r="E28" s="17">
        <f>(B$27-B28)/B$27</f>
        <v>1.1820330969267141E-2</v>
      </c>
      <c r="F28" s="5">
        <v>0.224</v>
      </c>
      <c r="G28" s="18">
        <f>B28/F28</f>
        <v>186.60714285714283</v>
      </c>
      <c r="H28" s="13">
        <v>-0.12</v>
      </c>
      <c r="I28" s="10" t="str">
        <f>IF(ABS(E28-D28)&lt;0.001,"OK","CHECK")</f>
        <v>OK</v>
      </c>
    </row>
    <row r="29" spans="1:9" x14ac:dyDescent="0.25">
      <c r="A29" s="4" t="s">
        <v>45</v>
      </c>
      <c r="B29" s="14">
        <v>39.6</v>
      </c>
      <c r="C29" s="14">
        <v>1</v>
      </c>
      <c r="D29" s="16">
        <v>6.4000000000000001E-2</v>
      </c>
      <c r="E29" s="17">
        <f>(B$27-B29)/B$27</f>
        <v>6.3829787234042451E-2</v>
      </c>
      <c r="F29" s="5">
        <v>0.214</v>
      </c>
      <c r="G29" s="18">
        <f>B29/F29</f>
        <v>185.04672897196264</v>
      </c>
      <c r="H29" s="13">
        <v>-0.28999999999999998</v>
      </c>
      <c r="I29" s="10" t="str">
        <f>IF(ABS(E29-D29)&lt;0.001,"OK","CHECK")</f>
        <v>OK</v>
      </c>
    </row>
    <row r="30" spans="1:9" x14ac:dyDescent="0.25">
      <c r="A30" s="4" t="s">
        <v>46</v>
      </c>
      <c r="B30" s="14">
        <v>36.9</v>
      </c>
      <c r="C30" s="14">
        <v>0.9</v>
      </c>
      <c r="D30" s="16">
        <v>0.128</v>
      </c>
      <c r="E30" s="17">
        <f>(B$27-B30)/B$27</f>
        <v>0.12765957446808507</v>
      </c>
      <c r="F30" s="5">
        <v>0.20100000000000001</v>
      </c>
      <c r="G30" s="18">
        <f>B30/F30</f>
        <v>183.58208955223878</v>
      </c>
      <c r="H30" s="13">
        <v>-0.41</v>
      </c>
      <c r="I30" s="10" t="str">
        <f>IF(ABS(E30-D30)&lt;0.001,"OK","CHECK")</f>
        <v>OK</v>
      </c>
    </row>
    <row r="31" spans="1:9" x14ac:dyDescent="0.25">
      <c r="A31" s="4" t="s">
        <v>47</v>
      </c>
      <c r="B31" s="14">
        <v>35.4</v>
      </c>
      <c r="C31" s="14">
        <v>0.8</v>
      </c>
      <c r="D31" s="16">
        <v>0.16300000000000001</v>
      </c>
      <c r="E31" s="17">
        <f>(B$27-B31)/B$27</f>
        <v>0.16312056737588651</v>
      </c>
      <c r="F31" s="5">
        <v>0.193</v>
      </c>
      <c r="G31" s="18">
        <f>B31/F31</f>
        <v>183.41968911917098</v>
      </c>
      <c r="H31" s="13">
        <v>-0.48</v>
      </c>
      <c r="I31" s="10" t="str">
        <f>IF(ABS(E31-D31)&lt;0.001,"OK","CHECK")</f>
        <v>OK</v>
      </c>
    </row>
    <row r="33" spans="1:7" x14ac:dyDescent="0.25">
      <c r="A33" s="4" t="s">
        <v>66</v>
      </c>
      <c r="G33" s="18">
        <f>MAX(G27:G31)-MIN(G27:G31)</f>
        <v>3.1874537379718504</v>
      </c>
    </row>
    <row r="34" spans="1:7" x14ac:dyDescent="0.25">
      <c r="A34" s="4" t="s">
        <v>67</v>
      </c>
      <c r="G34" s="17">
        <f>G33/AVERAGE(G27:G31)</f>
        <v>1.7259860607459515E-2</v>
      </c>
    </row>
  </sheetData>
  <conditionalFormatting sqref="F10:F14">
    <cfRule type="expression" dxfId="17" priority="2">
      <formula>OR(F10="EXCEEDS",F10="INCONSISTENT")</formula>
    </cfRule>
    <cfRule type="expression" dxfId="16" priority="3">
      <formula>OR(F10="OK",F10="CONSISTENT")</formula>
    </cfRule>
  </conditionalFormatting>
  <conditionalFormatting sqref="D18:D20">
    <cfRule type="expression" dxfId="15" priority="4">
      <formula>OR(D18="EXCEEDS",D18="INCONSISTENT")</formula>
    </cfRule>
    <cfRule type="expression" dxfId="14" priority="5">
      <formula>OR(D18="OK",D18="CONSISTENT")</formula>
    </cfRule>
  </conditionalFormatting>
  <conditionalFormatting sqref="I27:I31">
    <cfRule type="expression" dxfId="13" priority="6">
      <formula>OR(I27="EXCEEDS",I27="INCONSISTENT")</formula>
    </cfRule>
    <cfRule type="expression" dxfId="12" priority="7">
      <formula>OR(I27="OK",I27="CONSISTENT")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CTI_Fit</vt:lpstr>
      <vt:lpstr>Model_Consistency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2026-10-13T20:06:07Z</dcterms:created>
  <dcterms:modified xsi:type="dcterms:W3CDTF">2026-10-13T20:19:29Z</dcterms:modified>
  <dc:language>en-US</dc:language>
</cp:coreProperties>
</file>